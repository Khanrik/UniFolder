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54383_uni_au_dk/Documents/1. Semester/Klassisk Fysik/Newtonian mechanics/"/>
    </mc:Choice>
  </mc:AlternateContent>
  <xr:revisionPtr revIDLastSave="77" documentId="11_AD4D1D646341095ACB7000D61DD2C71C683EDF12" xr6:coauthVersionLast="47" xr6:coauthVersionMax="47" xr10:uidLastSave="{8C00B0B3-5451-4B33-867E-307A0D7BA1D3}"/>
  <bookViews>
    <workbookView xWindow="-120" yWindow="-120" windowWidth="29040" windowHeight="1584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8" i="1"/>
  <c r="H9" i="1"/>
  <c r="H10" i="1"/>
  <c r="H11" i="1"/>
  <c r="H12" i="1"/>
  <c r="H13" i="1"/>
  <c r="H14" i="1"/>
  <c r="H15" i="1"/>
  <c r="H4" i="1"/>
  <c r="H3" i="1"/>
  <c r="G5" i="1"/>
  <c r="G6" i="1"/>
  <c r="G7" i="1"/>
  <c r="G8" i="1"/>
  <c r="G9" i="1"/>
  <c r="G10" i="1"/>
  <c r="G11" i="1"/>
  <c r="G12" i="1"/>
  <c r="G13" i="1"/>
  <c r="G14" i="1"/>
  <c r="G15" i="1"/>
  <c r="G4" i="1"/>
  <c r="G3" i="1"/>
  <c r="F15" i="1"/>
  <c r="F5" i="1"/>
  <c r="F6" i="1"/>
  <c r="F7" i="1"/>
  <c r="F8" i="1"/>
  <c r="F9" i="1"/>
  <c r="F10" i="1"/>
  <c r="F11" i="1"/>
  <c r="F12" i="1"/>
  <c r="F13" i="1"/>
  <c r="F14" i="1"/>
  <c r="F4" i="1"/>
</calcChain>
</file>

<file path=xl/sharedStrings.xml><?xml version="1.0" encoding="utf-8"?>
<sst xmlns="http://schemas.openxmlformats.org/spreadsheetml/2006/main" count="6" uniqueCount="6">
  <si>
    <t>Time, t [s]</t>
  </si>
  <si>
    <t>x [m]</t>
  </si>
  <si>
    <t>y [m]</t>
  </si>
  <si>
    <t>velocity [m/s]</t>
  </si>
  <si>
    <t>distance [m]</t>
  </si>
  <si>
    <t>acceleration [m/s^2]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</si>
</sst>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"/>
  <sheetViews>
    <sheetView tabSelected="1" workbookViewId="0">
      <selection activeCell="H15" sqref="H15"/>
    </sheetView>
  </sheetViews>
  <sheetFormatPr defaultRowHeight="15" x14ac:dyDescent="0.25"/>
  <cols>
    <col min="2" max="2" width="10.7109375" customWidth="1"/>
    <col min="6" max="6" width="12.28515625" customWidth="1"/>
    <col min="7" max="7" width="14" customWidth="1"/>
    <col min="8" max="8" width="19" customWidth="1"/>
  </cols>
  <sheetData>
    <row r="2" spans="2:8" x14ac:dyDescent="0.25">
      <c r="B2" t="s">
        <v>0</v>
      </c>
      <c r="C2" t="s">
        <v>1</v>
      </c>
      <c r="D2" t="s">
        <v>2</v>
      </c>
      <c r="F2" t="s">
        <v>4</v>
      </c>
      <c r="G2" t="s">
        <v>3</v>
      </c>
      <c r="H2" t="s">
        <v>5</v>
      </c>
    </row>
    <row r="3" spans="2:8" x14ac:dyDescent="0.25">
      <c r="B3">
        <v>0</v>
      </c>
      <c r="C3">
        <v>0</v>
      </c>
      <c r="D3">
        <v>0</v>
      </c>
      <c r="F3">
        <v>0</v>
      </c>
      <c r="G3">
        <f>F3/(B4-B3)</f>
        <v>0</v>
      </c>
      <c r="H3">
        <f>0</f>
        <v>0</v>
      </c>
    </row>
    <row r="4" spans="2:8" x14ac:dyDescent="0.25">
      <c r="B4">
        <v>0.1</v>
      </c>
      <c r="C4">
        <v>0.65</v>
      </c>
      <c r="D4">
        <v>0.09</v>
      </c>
      <c r="F4">
        <f>SQRT((C4-C3)^2+(D4-D3)^2)</f>
        <v>0.6562011886609167</v>
      </c>
      <c r="G4">
        <f>F4/(B4-B3)</f>
        <v>6.5620118866091666</v>
      </c>
      <c r="H4">
        <f>(G4-G3)/(B4-B3)</f>
        <v>65.620118866091659</v>
      </c>
    </row>
    <row r="5" spans="2:8" x14ac:dyDescent="0.25">
      <c r="B5">
        <v>0.2</v>
      </c>
      <c r="C5">
        <v>1.25</v>
      </c>
      <c r="D5">
        <v>0.33</v>
      </c>
      <c r="F5">
        <f t="shared" ref="F5:F15" si="0">SQRT((C5-C4)^2+(D5-D4)^2)</f>
        <v>0.64621977685614052</v>
      </c>
      <c r="G5">
        <f t="shared" ref="G5:G15" si="1">F5/(B5-B4)</f>
        <v>6.4621977685614045</v>
      </c>
      <c r="H5">
        <f>(G5-G4)/(B5-B4)</f>
        <v>-0.99814118047762079</v>
      </c>
    </row>
    <row r="6" spans="2:8" x14ac:dyDescent="0.25">
      <c r="B6">
        <v>0.3</v>
      </c>
      <c r="C6">
        <v>1.77</v>
      </c>
      <c r="D6">
        <v>0.73</v>
      </c>
      <c r="F6">
        <f t="shared" si="0"/>
        <v>0.65604877867426903</v>
      </c>
      <c r="G6">
        <f t="shared" si="1"/>
        <v>6.5604877867426916</v>
      </c>
      <c r="H6">
        <f>(G6-G5)/(B6-B5)</f>
        <v>0.98290018181287153</v>
      </c>
    </row>
    <row r="7" spans="2:8" x14ac:dyDescent="0.25">
      <c r="B7">
        <v>0.4</v>
      </c>
      <c r="C7">
        <v>2.17</v>
      </c>
      <c r="D7">
        <v>1.25</v>
      </c>
      <c r="F7">
        <f t="shared" si="0"/>
        <v>0.65604877867426892</v>
      </c>
      <c r="G7">
        <f t="shared" si="1"/>
        <v>6.5604877867426872</v>
      </c>
      <c r="H7">
        <f>(G7-G6)/(B7-B6)</f>
        <v>-4.4408920985006249E-14</v>
      </c>
    </row>
    <row r="8" spans="2:8" x14ac:dyDescent="0.25">
      <c r="B8">
        <v>0.5</v>
      </c>
      <c r="C8">
        <v>2.41</v>
      </c>
      <c r="D8">
        <v>1.85</v>
      </c>
      <c r="F8">
        <f t="shared" si="0"/>
        <v>0.64621977685614063</v>
      </c>
      <c r="G8">
        <f t="shared" si="1"/>
        <v>6.462197768561408</v>
      </c>
      <c r="H8">
        <f t="shared" ref="H5:H15" si="2">(G8-G7)/(B8-B7)</f>
        <v>-0.9829001818127916</v>
      </c>
    </row>
    <row r="9" spans="2:8" x14ac:dyDescent="0.25">
      <c r="B9">
        <v>0.6</v>
      </c>
      <c r="C9">
        <v>2.5</v>
      </c>
      <c r="D9">
        <v>2.5</v>
      </c>
      <c r="F9">
        <f t="shared" si="0"/>
        <v>0.65620118866091659</v>
      </c>
      <c r="G9">
        <f t="shared" si="1"/>
        <v>6.5620118866091675</v>
      </c>
      <c r="H9">
        <f t="shared" si="2"/>
        <v>0.99814118047759437</v>
      </c>
    </row>
    <row r="10" spans="2:8" x14ac:dyDescent="0.25">
      <c r="B10">
        <v>0.7</v>
      </c>
      <c r="C10">
        <v>2.41</v>
      </c>
      <c r="D10">
        <v>3.15</v>
      </c>
      <c r="F10">
        <f t="shared" si="0"/>
        <v>0.65620118866091659</v>
      </c>
      <c r="G10">
        <f t="shared" si="1"/>
        <v>6.5620118866091675</v>
      </c>
      <c r="H10">
        <f t="shared" si="2"/>
        <v>0</v>
      </c>
    </row>
    <row r="11" spans="2:8" x14ac:dyDescent="0.25">
      <c r="B11">
        <v>0.8</v>
      </c>
      <c r="C11">
        <v>2.17</v>
      </c>
      <c r="D11">
        <v>3.75</v>
      </c>
      <c r="F11">
        <f t="shared" si="0"/>
        <v>0.64621977685614063</v>
      </c>
      <c r="G11">
        <f t="shared" si="1"/>
        <v>6.4621977685614009</v>
      </c>
      <c r="H11">
        <f t="shared" si="2"/>
        <v>-0.99814118047766431</v>
      </c>
    </row>
    <row r="12" spans="2:8" x14ac:dyDescent="0.25">
      <c r="B12">
        <v>0.9</v>
      </c>
      <c r="C12">
        <v>1.77</v>
      </c>
      <c r="D12">
        <v>4.2699999999999996</v>
      </c>
      <c r="F12">
        <f t="shared" si="0"/>
        <v>0.65604877867426858</v>
      </c>
      <c r="G12">
        <f t="shared" si="1"/>
        <v>6.5604877867426872</v>
      </c>
      <c r="H12">
        <f t="shared" si="2"/>
        <v>0.98290018181286265</v>
      </c>
    </row>
    <row r="13" spans="2:8" x14ac:dyDescent="0.25">
      <c r="B13">
        <v>1</v>
      </c>
      <c r="C13">
        <v>1.25</v>
      </c>
      <c r="D13">
        <v>4.67</v>
      </c>
      <c r="F13">
        <f t="shared" si="0"/>
        <v>0.65604877867426925</v>
      </c>
      <c r="G13">
        <f t="shared" si="1"/>
        <v>6.5604877867426943</v>
      </c>
      <c r="H13">
        <f t="shared" si="2"/>
        <v>7.1054273576010031E-14</v>
      </c>
    </row>
    <row r="14" spans="2:8" x14ac:dyDescent="0.25">
      <c r="B14">
        <v>1.1000000000000001</v>
      </c>
      <c r="C14">
        <v>0.65</v>
      </c>
      <c r="D14">
        <v>4.91</v>
      </c>
      <c r="F14">
        <f t="shared" si="0"/>
        <v>0.64621977685614052</v>
      </c>
      <c r="G14">
        <f t="shared" si="1"/>
        <v>6.4621977685613992</v>
      </c>
      <c r="H14">
        <f t="shared" si="2"/>
        <v>-0.98290018181295036</v>
      </c>
    </row>
    <row r="15" spans="2:8" x14ac:dyDescent="0.25">
      <c r="B15">
        <v>1.2</v>
      </c>
      <c r="C15">
        <v>0</v>
      </c>
      <c r="D15">
        <v>5</v>
      </c>
      <c r="F15">
        <f>SQRT((C15-C14)^2+(D15-D14)^2)</f>
        <v>0.6562011886609167</v>
      </c>
      <c r="G15">
        <f t="shared" si="1"/>
        <v>6.5620118866091754</v>
      </c>
      <c r="H15">
        <f t="shared" si="2"/>
        <v>0.99814118047776423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Huynh</dc:creator>
  <cp:lastModifiedBy>Henrik Huynh</cp:lastModifiedBy>
  <dcterms:created xsi:type="dcterms:W3CDTF">2015-06-05T18:19:34Z</dcterms:created>
  <dcterms:modified xsi:type="dcterms:W3CDTF">2023-09-07T08:48:53Z</dcterms:modified>
</cp:coreProperties>
</file>