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4383_uni_au_dk/Documents/1. Semester/Klassisk Fysik/Newtonian mechanics/"/>
    </mc:Choice>
  </mc:AlternateContent>
  <xr:revisionPtr revIDLastSave="71" documentId="8_{8B1C2B5E-4758-4517-880C-960C9ADCA557}" xr6:coauthVersionLast="47" xr6:coauthVersionMax="47" xr10:uidLastSave="{633E7BC7-68EC-4D40-ACAC-BEE7BEEFA301}"/>
  <bookViews>
    <workbookView xWindow="-120" yWindow="-120" windowWidth="29040" windowHeight="15990" xr2:uid="{5608CB5A-F09E-4BC3-BB9C-B65C18F91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B5" i="1"/>
  <c r="B4" i="1"/>
  <c r="C4" i="1"/>
  <c r="D4" i="1"/>
  <c r="E4" i="1"/>
  <c r="F4" i="1"/>
</calcChain>
</file>

<file path=xl/sharedStrings.xml><?xml version="1.0" encoding="utf-8"?>
<sst xmlns="http://schemas.openxmlformats.org/spreadsheetml/2006/main" count="4" uniqueCount="4">
  <si>
    <t>Rocket mass (kg) (including motor)</t>
  </si>
  <si>
    <t>Impulse J(N*s)</t>
  </si>
  <si>
    <t>Maximum height achieved (m)</t>
  </si>
  <si>
    <t>Velocity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</si>
</sst>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Funktion</a:t>
            </a:r>
            <a:r>
              <a:rPr lang="da-DK" baseline="0"/>
              <a:t> med hældning lig tyngdeacceleration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023403324584425E-2"/>
                  <c:y val="-0.41680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Sheet1!$B$3:$F$3</c:f>
              <c:numCache>
                <c:formatCode>General</c:formatCode>
                <c:ptCount val="5"/>
                <c:pt idx="0">
                  <c:v>22</c:v>
                </c:pt>
                <c:pt idx="1">
                  <c:v>13</c:v>
                </c:pt>
                <c:pt idx="2">
                  <c:v>19</c:v>
                </c:pt>
                <c:pt idx="3">
                  <c:v>51</c:v>
                </c:pt>
                <c:pt idx="4">
                  <c:v>23</c:v>
                </c:pt>
              </c:numCache>
            </c:numRef>
          </c:xVal>
          <c:yVal>
            <c:numRef>
              <c:f>Sheet1!$B$5:$F$5</c:f>
              <c:numCache>
                <c:formatCode>General</c:formatCode>
                <c:ptCount val="5"/>
                <c:pt idx="0">
                  <c:v>-312.5</c:v>
                </c:pt>
                <c:pt idx="1">
                  <c:v>-129.32298862790944</c:v>
                </c:pt>
                <c:pt idx="2">
                  <c:v>-184.91124260355028</c:v>
                </c:pt>
                <c:pt idx="3">
                  <c:v>-555.55555555555543</c:v>
                </c:pt>
                <c:pt idx="4">
                  <c:v>-257.20055266234459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9-4357-B59E-89B8F57F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645584"/>
        <c:axId val="1919280832"/>
      </c:scatterChart>
      <c:valAx>
        <c:axId val="192764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Højde</a:t>
                </a:r>
                <a:r>
                  <a:rPr lang="da-DK" baseline="0"/>
                  <a:t> [m]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19280832"/>
        <c:crosses val="autoZero"/>
        <c:crossBetween val="midCat"/>
      </c:valAx>
      <c:valAx>
        <c:axId val="19192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  Negative halvekvadrat af hastigheden [m² / s²]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2764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1236344</xdr:colOff>
      <xdr:row>7</xdr:row>
      <xdr:rowOff>114300</xdr:rowOff>
    </xdr:from>
    <xdr:to>
      <xdr:col>8</xdr:col>
      <xdr:colOff>400049</xdr:colOff>
      <xdr:row>24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984B69-CB4A-3A0A-9F47-1A20D0439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1FAB-EF53-4D4F-BC07-5A5705769C13}">
  <dimension ref="A1:F5"/>
  <sheetViews>
    <sheetView tabSelected="1" workbookViewId="0">
      <selection activeCell="K10" sqref="K10"/>
    </sheetView>
  </sheetViews>
  <sheetFormatPr defaultRowHeight="15" x14ac:dyDescent="0.25"/>
  <cols>
    <col min="1" max="1" width="28.28515625" bestFit="1" customWidth="1"/>
  </cols>
  <sheetData>
    <row r="1" spans="1:6" x14ac:dyDescent="0.25">
      <c r="A1" t="s">
        <v>1</v>
      </c>
      <c r="B1" s="1">
        <v>4.5</v>
      </c>
      <c r="C1">
        <v>7.8</v>
      </c>
      <c r="D1">
        <v>4.5</v>
      </c>
      <c r="E1">
        <v>7.8</v>
      </c>
      <c r="F1">
        <v>11</v>
      </c>
    </row>
    <row r="2" spans="1:6" x14ac:dyDescent="0.25">
      <c r="A2" t="s">
        <v>0</v>
      </c>
      <c r="B2">
        <v>0.18</v>
      </c>
      <c r="C2">
        <v>0.48499999999999999</v>
      </c>
      <c r="D2">
        <v>0.23400000000000001</v>
      </c>
      <c r="E2">
        <v>0.23400000000000001</v>
      </c>
      <c r="F2">
        <v>0.48499999999999999</v>
      </c>
    </row>
    <row r="3" spans="1:6" x14ac:dyDescent="0.25">
      <c r="A3" t="s">
        <v>2</v>
      </c>
      <c r="B3">
        <v>22</v>
      </c>
      <c r="C3">
        <v>13</v>
      </c>
      <c r="D3">
        <v>19</v>
      </c>
      <c r="E3">
        <v>51</v>
      </c>
      <c r="F3">
        <v>23</v>
      </c>
    </row>
    <row r="4" spans="1:6" x14ac:dyDescent="0.25">
      <c r="A4" t="s">
        <v>3</v>
      </c>
      <c r="B4">
        <f>B1/B2</f>
        <v>25</v>
      </c>
      <c r="C4">
        <f>C1/C2</f>
        <v>16.082474226804123</v>
      </c>
      <c r="D4">
        <f>D1/D2</f>
        <v>19.23076923076923</v>
      </c>
      <c r="E4">
        <f>E1/E2</f>
        <v>33.333333333333329</v>
      </c>
      <c r="F4">
        <f>F1/F2</f>
        <v>22.680412371134022</v>
      </c>
    </row>
    <row r="5" spans="1:6" x14ac:dyDescent="0.25">
      <c r="B5">
        <f>-((B4^2)/2)</f>
        <v>-312.5</v>
      </c>
      <c r="C5">
        <f t="shared" ref="C5:F5" si="0">-((C4^2)/2)</f>
        <v>-129.32298862790944</v>
      </c>
      <c r="D5">
        <f t="shared" si="0"/>
        <v>-184.91124260355028</v>
      </c>
      <c r="E5">
        <f t="shared" si="0"/>
        <v>-555.55555555555543</v>
      </c>
      <c r="F5">
        <f t="shared" si="0"/>
        <v>-257.20055266234459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Johan Meldgaard Raben</dc:creator>
  <cp:lastModifiedBy>Henrik Hoangkhanh Huynh</cp:lastModifiedBy>
  <dcterms:created xsi:type="dcterms:W3CDTF">2023-10-11T10:53:40Z</dcterms:created>
  <dcterms:modified xsi:type="dcterms:W3CDTF">2023-10-11T16:48:47Z</dcterms:modified>
</cp:coreProperties>
</file>